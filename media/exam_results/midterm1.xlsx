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Mwangi\Downloads\"/>
    </mc:Choice>
  </mc:AlternateContent>
  <xr:revisionPtr revIDLastSave="0" documentId="8_{9FE95430-9F0F-4FD4-B3B4-9E08EFBE1905}" xr6:coauthVersionLast="47" xr6:coauthVersionMax="47" xr10:uidLastSave="{00000000-0000-0000-0000-000000000000}"/>
  <bookViews>
    <workbookView xWindow="-120" yWindow="-120" windowWidth="20640" windowHeight="11160" xr2:uid="{3EA70930-65AA-401E-BD54-DDB1C6F956B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/>
  <c r="X5" i="1"/>
  <c r="X2" i="1"/>
  <c r="V3" i="1"/>
  <c r="V4" i="1"/>
  <c r="V5" i="1"/>
  <c r="V2" i="1"/>
  <c r="T3" i="1"/>
  <c r="T4" i="1"/>
  <c r="T5" i="1"/>
  <c r="T2" i="1"/>
  <c r="R2" i="1"/>
  <c r="P3" i="1"/>
  <c r="P4" i="1"/>
  <c r="P5" i="1"/>
  <c r="P2" i="1"/>
  <c r="N2" i="1"/>
  <c r="J2" i="1"/>
  <c r="I11" i="2" s="1"/>
  <c r="J4" i="1"/>
  <c r="J5" i="1"/>
  <c r="J3" i="1"/>
  <c r="N3" i="1"/>
  <c r="N4" i="1"/>
  <c r="N5" i="1"/>
  <c r="L3" i="1"/>
  <c r="L4" i="1"/>
  <c r="L5" i="1"/>
  <c r="L2" i="1"/>
  <c r="H3" i="1"/>
  <c r="H4" i="1"/>
  <c r="H5" i="1"/>
  <c r="Z5" i="1" s="1"/>
  <c r="AA5" i="1" s="1"/>
  <c r="H2" i="1"/>
  <c r="F2" i="1"/>
  <c r="F3" i="1"/>
  <c r="F4" i="1"/>
  <c r="F5" i="1"/>
  <c r="D2" i="1"/>
  <c r="D3" i="1"/>
  <c r="Z3" i="1" s="1"/>
  <c r="AA3" i="1" s="1"/>
  <c r="D4" i="1"/>
  <c r="D5" i="1"/>
  <c r="Z2" i="1" l="1"/>
  <c r="AA2" i="1" s="1"/>
  <c r="Z4" i="1"/>
  <c r="AA4" i="1" s="1"/>
  <c r="Y5" i="1"/>
  <c r="Y3" i="1"/>
  <c r="Y4" i="1"/>
  <c r="Y2" i="1"/>
  <c r="AC26" i="1" l="1"/>
</calcChain>
</file>

<file path=xl/sharedStrings.xml><?xml version="1.0" encoding="utf-8"?>
<sst xmlns="http://schemas.openxmlformats.org/spreadsheetml/2006/main" count="55" uniqueCount="33">
  <si>
    <t>Dan</t>
  </si>
  <si>
    <t>Ann</t>
  </si>
  <si>
    <t>Rose</t>
  </si>
  <si>
    <t>John</t>
  </si>
  <si>
    <t>Name</t>
  </si>
  <si>
    <t>Admission_No</t>
  </si>
  <si>
    <t>Math</t>
  </si>
  <si>
    <t>English</t>
  </si>
  <si>
    <t>Kiswahili</t>
  </si>
  <si>
    <t>Chemistry</t>
  </si>
  <si>
    <t>Biology</t>
  </si>
  <si>
    <t>Marks</t>
  </si>
  <si>
    <t>Grade</t>
  </si>
  <si>
    <t>Physics</t>
  </si>
  <si>
    <t>Business_studies</t>
  </si>
  <si>
    <t>Cre</t>
  </si>
  <si>
    <t>History</t>
  </si>
  <si>
    <t>Agriculture</t>
  </si>
  <si>
    <t>Geography</t>
  </si>
  <si>
    <t>A</t>
  </si>
  <si>
    <t>B+</t>
  </si>
  <si>
    <t>B-</t>
  </si>
  <si>
    <t>B</t>
  </si>
  <si>
    <t>C+</t>
  </si>
  <si>
    <t>C</t>
  </si>
  <si>
    <t>C-</t>
  </si>
  <si>
    <t>D+</t>
  </si>
  <si>
    <t>D</t>
  </si>
  <si>
    <t>D-</t>
  </si>
  <si>
    <t>E</t>
  </si>
  <si>
    <t>A-</t>
  </si>
  <si>
    <t>points</t>
  </si>
  <si>
    <t>mean_grade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</si>
</sst>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8FDC-C30B-4CAD-A3AC-CBB4833E4009}">
  <dimension ref="A1:AC26"/>
  <sheetViews>
    <sheetView tabSelected="1" workbookViewId="0">
      <selection activeCell="G14" sqref="D2:G14"/>
    </sheetView>
  </sheetViews>
  <sheetFormatPr defaultRowHeight="15" x14ac:dyDescent="0.25"/>
  <cols>
    <col min="2" max="2" width="13" customWidth="1"/>
    <col min="3" max="3" width="4.42578125" customWidth="1"/>
    <col min="4" max="4" width="8.7109375" customWidth="1"/>
    <col min="5" max="5" width="3.42578125" customWidth="1"/>
    <col min="6" max="6" width="3" customWidth="1"/>
    <col min="7" max="7" width="4.28515625" customWidth="1"/>
    <col min="8" max="8" width="3.7109375" customWidth="1"/>
    <col min="9" max="9" width="5.5703125" customWidth="1"/>
    <col min="10" max="10" width="3" customWidth="1"/>
    <col min="11" max="11" width="3.28515625" customWidth="1"/>
    <col min="12" max="12" width="2.140625" customWidth="1"/>
    <col min="13" max="13" width="5" customWidth="1"/>
    <col min="14" max="14" width="2.42578125" customWidth="1"/>
    <col min="15" max="15" width="4.7109375" customWidth="1"/>
    <col min="16" max="17" width="3.28515625" customWidth="1"/>
    <col min="18" max="18" width="3" customWidth="1"/>
    <col min="19" max="19" width="4.42578125" customWidth="1"/>
    <col min="20" max="20" width="2.28515625" customWidth="1"/>
    <col min="21" max="22" width="3.140625" customWidth="1"/>
    <col min="23" max="23" width="3.85546875" customWidth="1"/>
    <col min="24" max="24" width="4" customWidth="1"/>
    <col min="27" max="27" width="13.28515625" customWidth="1"/>
  </cols>
  <sheetData>
    <row r="1" spans="1:27" x14ac:dyDescent="0.25">
      <c r="A1" t="s">
        <v>4</v>
      </c>
      <c r="B1" t="s">
        <v>5</v>
      </c>
      <c r="C1" t="s">
        <v>6</v>
      </c>
      <c r="D1" t="s">
        <v>12</v>
      </c>
      <c r="E1" t="s">
        <v>7</v>
      </c>
      <c r="F1" t="s">
        <v>12</v>
      </c>
      <c r="G1" t="s">
        <v>8</v>
      </c>
      <c r="H1" t="s">
        <v>12</v>
      </c>
      <c r="I1" t="s">
        <v>9</v>
      </c>
      <c r="J1" t="s">
        <v>12</v>
      </c>
      <c r="K1" t="s">
        <v>10</v>
      </c>
      <c r="L1" t="s">
        <v>12</v>
      </c>
      <c r="M1" t="s">
        <v>13</v>
      </c>
      <c r="N1" t="s">
        <v>12</v>
      </c>
      <c r="O1" t="s">
        <v>14</v>
      </c>
      <c r="P1" t="s">
        <v>12</v>
      </c>
      <c r="Q1" t="s">
        <v>15</v>
      </c>
      <c r="R1" t="s">
        <v>12</v>
      </c>
      <c r="S1" t="s">
        <v>16</v>
      </c>
      <c r="T1" t="s">
        <v>12</v>
      </c>
      <c r="U1" t="s">
        <v>17</v>
      </c>
      <c r="V1" t="s">
        <v>12</v>
      </c>
      <c r="W1" t="s">
        <v>18</v>
      </c>
      <c r="X1" t="s">
        <v>12</v>
      </c>
      <c r="Y1" t="s">
        <v>11</v>
      </c>
      <c r="Z1" t="s">
        <v>31</v>
      </c>
      <c r="AA1" t="s">
        <v>32</v>
      </c>
    </row>
    <row r="2" spans="1:27" x14ac:dyDescent="0.25">
      <c r="A2" t="s">
        <v>0</v>
      </c>
      <c r="B2">
        <v>24809</v>
      </c>
      <c r="C2">
        <v>71</v>
      </c>
      <c r="D2" t="str">
        <f>IF(C2&gt;=70,"A",IF(C2&gt;=65,"A-",IF(C2&gt;=60,"B+",IF(C2&gt;=55,"B",IF(C2&gt;=50,"B-",IF(C2&gt;=45,"C+",IF(C2&gt;=40,"C",IF(C2&gt;=35,"C-",IF(C2&gt;=30,"D+",IF(C2&gt;=25,"D",IF(C2&gt;=20,"D-","E")))))))))))</f>
        <v>A</v>
      </c>
      <c r="E2">
        <v>60</v>
      </c>
      <c r="F2" t="str">
        <f>IF(E2&gt;=80,"A",IF(E2&gt;=75,"A-",IF(E2&gt;=70,"B+",IF(E2&gt;=65,"B",IF(E2&gt;=60,"B-",IF(E2&gt;=55,"C+",IF(E2&gt;=50,"C",IF(E2&gt;=45,"C-",IF(E2&gt;=40,"D+",IF(E2&gt;=35,"D",IF(E2&gt;=30,"D-","E")))))))))))</f>
        <v>B-</v>
      </c>
      <c r="G2">
        <v>67</v>
      </c>
      <c r="H2" t="str">
        <f>IF(G2&gt;=80,"A",IF(G2&gt;=75,"A-",IF(G2&gt;=70,"B+",IF(G2&gt;=65,"B",IF(G2&gt;=60,"B-",IF(G2&gt;=55,"C+",IF(G2&gt;=50,"C",IF(G2&gt;=45,"C-",IF(G2&gt;=40,"D+",IF(G2&gt;=35,"D",IF(G2&gt;=30,"D-","E")))))))))))</f>
        <v>B</v>
      </c>
      <c r="I2">
        <v>76</v>
      </c>
      <c r="J2" t="str">
        <f>IF(I2="", " ",IF(I2&gt;=80,"A",IF(I2&gt;=75,"A-",IF(I2&gt;=70,"B+",IF(I2&gt;=65,"B",IF(I2&gt;=60,"B-",IF(I2&gt;=55,"C+",IF(I2&gt;=50,"C",IF(I2&gt;=45,"C-",IF(I2&gt;=40,"D+",IF(I2&gt;=35,"D",IF(I2&gt;=30,"D-","E"))))))))))))</f>
        <v>A-</v>
      </c>
      <c r="K2">
        <v>78</v>
      </c>
      <c r="L2" t="str">
        <f>IF(K2&gt;=80,"A",IF(K2&gt;=75,"A-",IF(K2&gt;=70,"B+",IF(K2&gt;=65,"B",IF(K2&gt;=60,"B-",IF(K2&gt;=55,"C+",IF(K2&gt;=50,"C",IF(K2&gt;=45,"C-",IF(K2&gt;=40,"D+",IF(K2&gt;=35,"D",IF(K2&gt;=30,"D-","E")))))))))))</f>
        <v>A-</v>
      </c>
      <c r="N2" t="str">
        <f>IF(M2="", " ",IF(M2&gt;=80,"A",IF(M2&gt;=75,"A-",IF(M2&gt;=70,"B+",IF(M2&gt;=65,"B",IF(M2&gt;=60,"B-",IF(M2&gt;=55,"C+",IF(M2&gt;=50,"C",IF(M2&gt;=45,"C-",IF(M2&gt;=40,"D+",IF(M2&gt;=35,"D",IF(M2&gt;=30,"D-","E"))))))))))))</f>
        <v xml:space="preserve"> </v>
      </c>
      <c r="O2">
        <v>85</v>
      </c>
      <c r="P2" t="str">
        <f>IF(O2="", " ",IF(O2&gt;=80,"A",IF(O2&gt;=75,"A-",IF(O2&gt;=70,"B+",IF(O2&gt;=65,"B",IF(O2&gt;=60,"B-",IF(O2&gt;=55,"C+",IF(O2&gt;=50,"C",IF(O2&gt;=45,"C-",IF(O2&gt;=40,"D+",IF(O2&gt;=35,"D",IF(O2&gt;=30,"D-","E"))))))))))))</f>
        <v>A</v>
      </c>
      <c r="Q2">
        <v>89</v>
      </c>
      <c r="R2" t="str">
        <f>IF(Q2="", " ",IF(Q2&gt;=80,"A",IF(Q2&gt;=75,"A-",IF(Q2&gt;=70,"B+",IF(Q2&gt;=65,"B",IF(Q2&gt;=60,"B-",IF(Q2&gt;=55,"C+",IF(Q2&gt;=50,"C",IF(Q2&gt;=45,"C-",IF(Q2&gt;=40,"D+",IF(Q2&gt;=35,"D",IF(Q2&gt;=30,"D-","E"))))))))))))</f>
        <v>A</v>
      </c>
      <c r="T2" t="str">
        <f>IF(S2="", " ",IF(S2&gt;=80,"A",IF(S2&gt;=75,"A-",IF(S2&gt;=70,"B+",IF(S2&gt;=65,"B",IF(S2&gt;=60,"B-",IF(S2&gt;=55,"C+",IF(S2&gt;=50,"C",IF(S2&gt;=45,"C-",IF(S2&gt;=40,"D+",IF(S2&gt;=35,"D",IF(S2&gt;=30,"D-","E"))))))))))))</f>
        <v xml:space="preserve"> </v>
      </c>
      <c r="V2" t="str">
        <f>IF(U2="", " ",IF(U2&gt;=80,"A",IF(U2&gt;=75,"A-",IF(U2&gt;=70,"B+",IF(U2&gt;=65,"B",IF(U2&gt;=60,"B-",IF(U2&gt;=55,"C+",IF(U2&gt;=50,"C",IF(U2&gt;=45,"C-",IF(U2&gt;=40,"D+",IF(U2&gt;=35,"D",IF(U2&gt;=30,"D-","E"))))))))))))</f>
        <v xml:space="preserve"> </v>
      </c>
      <c r="W2">
        <v>92</v>
      </c>
      <c r="X2" t="str">
        <f>IF(W2="", " ",IF(W2&gt;=80,"A",IF(W2&gt;=75,"A-",IF(W2&gt;=70,"B+",IF(W2&gt;=65,"B",IF(W2&gt;=60,"B-",IF(W2&gt;=55,"C+",IF(W2&gt;=50,"C",IF(W2&gt;=45,"C-",IF(W2&gt;=40,"D+",IF(W2&gt;=35,"D",IF(W2&gt;=30,"D-","E"))))))))))))</f>
        <v>A</v>
      </c>
      <c r="Y2">
        <f>SUM(C2:W2)</f>
        <v>618</v>
      </c>
      <c r="Z2">
        <f>SUM(
  IFERROR(VLOOKUP(D2,Sheet2!$K$13:$L$24,2,FALSE),0),
  IFERROR(VLOOKUP(F2,Sheet2!$K$13:$L$24,2,FALSE),0),
  IFERROR(VLOOKUP(H2,Sheet2!$K$13:$L$24,2,FALSE),0),
  IFERROR(VLOOKUP(J2,Sheet2!$K$13:$L$24,2,FALSE),0),
  IFERROR(VLOOKUP(L2,Sheet2!$K$13:$L$24,2,FALSE),0),
  IFERROR(VLOOKUP(N2,Sheet2!$K$13:$L$24,2,FALSE),0),
  IFERROR(VLOOKUP(P2,Sheet2!$K$13:$L$24,2,FALSE),0),
  IFERROR(VLOOKUP(R2,Sheet2!$K$13:$L$24,2,FALSE),0),
  IFERROR(VLOOKUP(T2,Sheet2!$K$13:$L$24,2,FALSE),0),
  IFERROR(VLOOKUP(V2,Sheet2!$K$13:$L$24,2,FALSE),0),
  IFERROR(VLOOKUP(X2,Sheet2!$K$13:$L$24,2,FALSE),0)
)</f>
        <v>87</v>
      </c>
      <c r="AA2" t="str">
        <f>VLOOKUP(Z2, Sheet2!$A$2:$B$13, 2, TRUE)</f>
        <v>A</v>
      </c>
    </row>
    <row r="3" spans="1:27" x14ac:dyDescent="0.25">
      <c r="A3" t="s">
        <v>1</v>
      </c>
      <c r="B3">
        <v>23171</v>
      </c>
      <c r="C3">
        <v>78</v>
      </c>
      <c r="D3" t="str">
        <f t="shared" ref="D3:D5" si="0">IF(C3&gt;=70,"A",IF(C3&gt;=65,"A-",IF(C3&gt;=60,"B+",IF(C3&gt;=55,"B",IF(C3&gt;=50,"B-",IF(C3&gt;=45,"C+",IF(C3&gt;=40,"C",IF(C3&gt;=35,"C-",IF(C3&gt;=30,"D+",IF(C3&gt;=25,"D",IF(C3&gt;=20,"D-","E")))))))))))</f>
        <v>A</v>
      </c>
      <c r="E3">
        <v>78</v>
      </c>
      <c r="F3" t="str">
        <f t="shared" ref="F3:F5" si="1">IF(E3&gt;=80,"A",IF(E3&gt;=75,"A-",IF(E3&gt;=70,"B+",IF(E3&gt;=65,"B",IF(E3&gt;=60,"B-",IF(E3&gt;=55,"C+",IF(E3&gt;=50,"C",IF(E3&gt;=45,"C-",IF(E3&gt;=40,"D+",IF(E3&gt;=35,"D",IF(E3&gt;=30,"D-","E")))))))))))</f>
        <v>A-</v>
      </c>
      <c r="G3">
        <v>56</v>
      </c>
      <c r="H3" t="str">
        <f t="shared" ref="H3:H5" si="2">IF(G3&gt;=80,"A",IF(G3&gt;=75,"A-",IF(G3&gt;=70,"B+",IF(G3&gt;=65,"B",IF(G3&gt;=60,"B-",IF(G3&gt;=55,"C+",IF(G3&gt;=50,"C",IF(G3&gt;=45,"C-",IF(G3&gt;=40,"D+",IF(G3&gt;=35,"D",IF(G3&gt;=30,"D-","E")))))))))))</f>
        <v>C+</v>
      </c>
      <c r="I3">
        <v>90</v>
      </c>
      <c r="J3" t="str">
        <f>IF(I3="", " ",IF(I3&gt;=80,"A",IF(I3&gt;=75,"A-",IF(I3&gt;=70,"B+",IF(I3&gt;=65,"B",IF(I3&gt;=60,"B-",IF(I3&gt;=55,"C+",IF(I3&gt;=50,"C",IF(I3&gt;=45,"C-",IF(I3&gt;=40,"D+",IF(I3&gt;=35,"D",IF(I3&gt;=30,"D-","E"))))))))))))</f>
        <v>A</v>
      </c>
      <c r="K3">
        <v>56</v>
      </c>
      <c r="L3" t="str">
        <f t="shared" ref="L3:L5" si="3">IF(K3&gt;=80,"A",IF(K3&gt;=75,"A-",IF(K3&gt;=70,"B+",IF(K3&gt;=65,"B",IF(K3&gt;=60,"B-",IF(K3&gt;=55,"C+",IF(K3&gt;=50,"C",IF(K3&gt;=45,"C-",IF(K3&gt;=40,"D+",IF(K3&gt;=35,"D",IF(K3&gt;=30,"D-","E")))))))))))</f>
        <v>C+</v>
      </c>
      <c r="M3">
        <v>45</v>
      </c>
      <c r="N3" t="str">
        <f t="shared" ref="N3:N5" si="4">IF(M3="", " ",IF(M3&gt;=80,"A",IF(M3&gt;=75,"A-",IF(M3&gt;=70,"B+",IF(M3&gt;=65,"B",IF(M3&gt;=60,"B-",IF(M3&gt;=55,"C+",IF(M3&gt;=50,"C",IF(M3&gt;=45,"C-",IF(M3&gt;=40,"D+",IF(M3&gt;=35,"D",IF(M3&gt;=30,"D-","E"))))))))))))</f>
        <v>C-</v>
      </c>
      <c r="P3" t="str">
        <f t="shared" ref="P3:P5" si="5">IF(O3="", " ",IF(O3&gt;=80,"A",IF(O3&gt;=75,"A-",IF(O3&gt;=70,"B+",IF(O3&gt;=65,"B",IF(O3&gt;=60,"B-",IF(O3&gt;=55,"C+",IF(O3&gt;=50,"C",IF(O3&gt;=45,"C-",IF(O3&gt;=40,"D+",IF(O3&gt;=35,"D",IF(O3&gt;=30,"D-","E"))))))))))))</f>
        <v xml:space="preserve"> </v>
      </c>
      <c r="S3">
        <v>55</v>
      </c>
      <c r="T3" t="str">
        <f t="shared" ref="T3:T5" si="6">IF(S3="", " ",IF(S3&gt;=80,"A",IF(S3&gt;=75,"A-",IF(S3&gt;=70,"B+",IF(S3&gt;=65,"B",IF(S3&gt;=60,"B-",IF(S3&gt;=55,"C+",IF(S3&gt;=50,"C",IF(S3&gt;=45,"C-",IF(S3&gt;=40,"D+",IF(S3&gt;=35,"D",IF(S3&gt;=30,"D-","E"))))))))))))</f>
        <v>C+</v>
      </c>
      <c r="U3">
        <v>45</v>
      </c>
      <c r="V3" t="str">
        <f t="shared" ref="V3:V5" si="7">IF(U3="", " ",IF(U3&gt;=80,"A",IF(U3&gt;=75,"A-",IF(U3&gt;=70,"B+",IF(U3&gt;=65,"B",IF(U3&gt;=60,"B-",IF(U3&gt;=55,"C+",IF(U3&gt;=50,"C",IF(U3&gt;=45,"C-",IF(U3&gt;=40,"D+",IF(U3&gt;=35,"D",IF(U3&gt;=30,"D-","E"))))))))))))</f>
        <v>C-</v>
      </c>
      <c r="X3" t="str">
        <f t="shared" ref="X3:X5" si="8">IF(W3="", " ",IF(W3&gt;=80,"A",IF(W3&gt;=75,"A-",IF(W3&gt;=70,"B+",IF(W3&gt;=65,"B",IF(W3&gt;=60,"B-",IF(W3&gt;=55,"C+",IF(W3&gt;=50,"C",IF(W3&gt;=45,"C-",IF(W3&gt;=40,"D+",IF(W3&gt;=35,"D",IF(W3&gt;=30,"D-","E"))))))))))))</f>
        <v xml:space="preserve"> </v>
      </c>
      <c r="Y3">
        <f t="shared" ref="Y3:Y5" si="9">SUM(C3:W3)</f>
        <v>503</v>
      </c>
      <c r="Z3">
        <f>SUM(
  IFERROR(VLOOKUP(D3,Sheet2!$K$13:$L$24,2,FALSE),0),
  IFERROR(VLOOKUP(F3,Sheet2!$K$13:$L$24,2,FALSE),0),
  IFERROR(VLOOKUP(H3,Sheet2!$K$13:$L$24,2,FALSE),0),
  IFERROR(VLOOKUP(J3,Sheet2!$K$13:$L$24,2,FALSE),0),
  IFERROR(VLOOKUP(L3,Sheet2!$K$13:$L$24,2,FALSE),0),
  IFERROR(VLOOKUP(N3,Sheet2!$K$13:$L$24,2,FALSE),0),
  IFERROR(VLOOKUP(P3,Sheet2!$K$13:$L$24,2,FALSE),0),
  IFERROR(VLOOKUP(R3,Sheet2!$K$13:$L$24,2,FALSE),0),
  IFERROR(VLOOKUP(T3,Sheet2!$K$13:$L$24,2,FALSE),0),
  IFERROR(VLOOKUP(V3,Sheet2!$K$13:$L$24,2,FALSE),0),
  IFERROR(VLOOKUP(X3,Sheet2!$K$13:$L$24,2,FALSE),0)
)</f>
        <v>66</v>
      </c>
      <c r="AA3" t="str">
        <f>VLOOKUP(Z3, Sheet2!$A$2:$B$13, 2, TRUE)</f>
        <v>B-</v>
      </c>
    </row>
    <row r="4" spans="1:27" x14ac:dyDescent="0.25">
      <c r="A4" t="s">
        <v>2</v>
      </c>
      <c r="B4">
        <v>23789</v>
      </c>
      <c r="C4">
        <v>89</v>
      </c>
      <c r="D4" t="str">
        <f t="shared" si="0"/>
        <v>A</v>
      </c>
      <c r="E4">
        <v>67</v>
      </c>
      <c r="F4" t="str">
        <f t="shared" si="1"/>
        <v>B</v>
      </c>
      <c r="G4">
        <v>90</v>
      </c>
      <c r="H4" t="str">
        <f t="shared" si="2"/>
        <v>A</v>
      </c>
      <c r="I4">
        <v>67</v>
      </c>
      <c r="J4" t="str">
        <f t="shared" ref="J4:J5" si="10">IF(I4="", " ",IF(I4&gt;=80,"A",IF(I4&gt;=75,"A-",IF(I4&gt;=70,"B+",IF(I4&gt;=65,"B",IF(I4&gt;=60,"B-",IF(I4&gt;=55,"C+",IF(I4&gt;=50,"C",IF(I4&gt;=45,"C-",IF(I4&gt;=40,"D+",IF(I4&gt;=35,"D",IF(I4&gt;=30,"D-","E"))))))))))))</f>
        <v>B</v>
      </c>
      <c r="K4">
        <v>56</v>
      </c>
      <c r="L4" t="str">
        <f t="shared" si="3"/>
        <v>C+</v>
      </c>
      <c r="M4">
        <v>88</v>
      </c>
      <c r="N4" t="str">
        <f t="shared" si="4"/>
        <v>A</v>
      </c>
      <c r="O4">
        <v>90</v>
      </c>
      <c r="P4" t="str">
        <f t="shared" si="5"/>
        <v>A</v>
      </c>
      <c r="S4">
        <v>78</v>
      </c>
      <c r="T4" t="str">
        <f t="shared" si="6"/>
        <v>A-</v>
      </c>
      <c r="V4" t="str">
        <f t="shared" si="7"/>
        <v xml:space="preserve"> </v>
      </c>
      <c r="X4" t="str">
        <f t="shared" si="8"/>
        <v xml:space="preserve"> </v>
      </c>
      <c r="Y4">
        <f t="shared" si="9"/>
        <v>625</v>
      </c>
      <c r="Z4">
        <f>SUM(
  IFERROR(VLOOKUP(D4,Sheet2!$K$13:$L$24,2,FALSE),0),
  IFERROR(VLOOKUP(F4,Sheet2!$K$13:$L$24,2,FALSE),0),
  IFERROR(VLOOKUP(H4,Sheet2!$K$13:$L$24,2,FALSE),0),
  IFERROR(VLOOKUP(J4,Sheet2!$K$13:$L$24,2,FALSE),0),
  IFERROR(VLOOKUP(L4,Sheet2!$K$13:$L$24,2,FALSE),0),
  IFERROR(VLOOKUP(N4,Sheet2!$K$13:$L$24,2,FALSE),0),
  IFERROR(VLOOKUP(P4,Sheet2!$K$13:$L$24,2,FALSE),0),
  IFERROR(VLOOKUP(R4,Sheet2!$K$13:$L$24,2,FALSE),0),
  IFERROR(VLOOKUP(T4,Sheet2!$K$13:$L$24,2,FALSE),0),
  IFERROR(VLOOKUP(V4,Sheet2!$K$13:$L$24,2,FALSE),0),
  IFERROR(VLOOKUP(X4,Sheet2!$K$13:$L$24,2,FALSE),0)
)</f>
        <v>84</v>
      </c>
      <c r="AA4" t="str">
        <f>VLOOKUP(Z4, Sheet2!$A$2:$B$13, 2, TRUE)</f>
        <v>A</v>
      </c>
    </row>
    <row r="5" spans="1:27" x14ac:dyDescent="0.25">
      <c r="A5" t="s">
        <v>3</v>
      </c>
      <c r="B5">
        <v>23890</v>
      </c>
      <c r="C5">
        <v>76</v>
      </c>
      <c r="D5" t="str">
        <f t="shared" si="0"/>
        <v>A</v>
      </c>
      <c r="E5">
        <v>89</v>
      </c>
      <c r="F5" t="str">
        <f t="shared" si="1"/>
        <v>A</v>
      </c>
      <c r="G5">
        <v>78</v>
      </c>
      <c r="H5" t="str">
        <f t="shared" si="2"/>
        <v>A-</v>
      </c>
      <c r="I5">
        <v>90</v>
      </c>
      <c r="J5" t="str">
        <f t="shared" si="10"/>
        <v>A</v>
      </c>
      <c r="K5">
        <v>78</v>
      </c>
      <c r="L5" t="str">
        <f t="shared" si="3"/>
        <v>A-</v>
      </c>
      <c r="N5" t="str">
        <f t="shared" si="4"/>
        <v xml:space="preserve"> </v>
      </c>
      <c r="P5" t="str">
        <f t="shared" si="5"/>
        <v xml:space="preserve"> </v>
      </c>
      <c r="S5">
        <v>23</v>
      </c>
      <c r="T5" t="str">
        <f t="shared" si="6"/>
        <v>E</v>
      </c>
      <c r="U5">
        <v>49</v>
      </c>
      <c r="V5" t="str">
        <f t="shared" si="7"/>
        <v>C-</v>
      </c>
      <c r="W5">
        <v>66</v>
      </c>
      <c r="X5" t="str">
        <f t="shared" si="8"/>
        <v>B</v>
      </c>
      <c r="Y5">
        <f t="shared" si="9"/>
        <v>549</v>
      </c>
      <c r="Z5">
        <f>SUM(
  IFERROR(VLOOKUP(D5,Sheet2!$K$13:$L$24,2,FALSE),0),
  IFERROR(VLOOKUP(F5,Sheet2!$K$13:$L$24,2,FALSE),0),
  IFERROR(VLOOKUP(H5,Sheet2!$K$13:$L$24,2,FALSE),0),
  IFERROR(VLOOKUP(J5,Sheet2!$K$13:$L$24,2,FALSE),0),
  IFERROR(VLOOKUP(L5,Sheet2!$K$13:$L$24,2,FALSE),0),
  IFERROR(VLOOKUP(N5,Sheet2!$K$13:$L$24,2,FALSE),0),
  IFERROR(VLOOKUP(P5,Sheet2!$K$13:$L$24,2,FALSE),0),
  IFERROR(VLOOKUP(R5,Sheet2!$K$13:$L$24,2,FALSE),0),
  IFERROR(VLOOKUP(T5,Sheet2!$K$13:$L$24,2,FALSE),0),
  IFERROR(VLOOKUP(V5,Sheet2!$K$13:$L$24,2,FALSE),0),
  IFERROR(VLOOKUP(X5,Sheet2!$K$13:$L$24,2,FALSE),0)
)</f>
        <v>73</v>
      </c>
      <c r="AA5" t="str">
        <f>VLOOKUP(Z5, Sheet2!$A$2:$B$13, 2, TRUE)</f>
        <v>B-</v>
      </c>
    </row>
    <row r="26" spans="29:29" x14ac:dyDescent="0.25">
      <c r="AC26" t="e">
        <f>VLOOKUP(#REF!, J2:K13, 2, TRUE)</f>
        <v>#REF!</v>
      </c>
    </row>
  </sheetData>
  <sortState xmlns:xlrd2="http://schemas.microsoft.com/office/spreadsheetml/2017/richdata2" ref="AA11:AA22">
    <sortCondition descending="1" ref="AA11:A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B8AC-1A21-42BA-AED2-CAD7A875680E}">
  <dimension ref="A2:L24"/>
  <sheetViews>
    <sheetView topLeftCell="A22" workbookViewId="0">
      <selection activeCell="H10" sqref="H10:L24"/>
    </sheetView>
  </sheetViews>
  <sheetFormatPr defaultRowHeight="15" x14ac:dyDescent="0.25"/>
  <sheetData>
    <row r="2" spans="1:12" x14ac:dyDescent="0.25">
      <c r="A2">
        <v>25</v>
      </c>
      <c r="B2" t="s">
        <v>29</v>
      </c>
    </row>
    <row r="3" spans="1:12" x14ac:dyDescent="0.25">
      <c r="A3">
        <v>30</v>
      </c>
      <c r="B3" t="s">
        <v>26</v>
      </c>
    </row>
    <row r="4" spans="1:12" x14ac:dyDescent="0.25">
      <c r="A4">
        <v>35</v>
      </c>
      <c r="B4" t="s">
        <v>28</v>
      </c>
    </row>
    <row r="5" spans="1:12" x14ac:dyDescent="0.25">
      <c r="A5">
        <v>40</v>
      </c>
      <c r="B5" t="s">
        <v>27</v>
      </c>
    </row>
    <row r="6" spans="1:12" x14ac:dyDescent="0.25">
      <c r="A6">
        <v>45</v>
      </c>
      <c r="B6" t="s">
        <v>23</v>
      </c>
    </row>
    <row r="7" spans="1:12" x14ac:dyDescent="0.25">
      <c r="A7">
        <v>50</v>
      </c>
      <c r="B7" t="s">
        <v>25</v>
      </c>
    </row>
    <row r="8" spans="1:12" x14ac:dyDescent="0.25">
      <c r="A8">
        <v>55</v>
      </c>
      <c r="B8" t="s">
        <v>24</v>
      </c>
    </row>
    <row r="9" spans="1:12" x14ac:dyDescent="0.25">
      <c r="A9">
        <v>64</v>
      </c>
      <c r="B9" t="s">
        <v>20</v>
      </c>
    </row>
    <row r="10" spans="1:12" x14ac:dyDescent="0.25">
      <c r="A10">
        <v>65</v>
      </c>
      <c r="B10" t="s">
        <v>21</v>
      </c>
    </row>
    <row r="11" spans="1:12" x14ac:dyDescent="0.25">
      <c r="A11">
        <v>74</v>
      </c>
      <c r="B11" t="s">
        <v>22</v>
      </c>
      <c r="I11" t="e">
        <f>VLOOKUP(Sheet1!B2, Sheet1!$J$2:$K$13, 2, FALSE)</f>
        <v>#N/A</v>
      </c>
    </row>
    <row r="12" spans="1:12" x14ac:dyDescent="0.25">
      <c r="A12">
        <v>75</v>
      </c>
      <c r="B12" t="s">
        <v>30</v>
      </c>
    </row>
    <row r="13" spans="1:12" x14ac:dyDescent="0.25">
      <c r="A13">
        <v>84</v>
      </c>
      <c r="B13" t="s">
        <v>19</v>
      </c>
      <c r="K13" t="s">
        <v>19</v>
      </c>
      <c r="L13">
        <v>12</v>
      </c>
    </row>
    <row r="14" spans="1:12" x14ac:dyDescent="0.25">
      <c r="K14" t="s">
        <v>30</v>
      </c>
      <c r="L14">
        <v>11</v>
      </c>
    </row>
    <row r="15" spans="1:12" x14ac:dyDescent="0.25">
      <c r="K15" t="s">
        <v>20</v>
      </c>
      <c r="L15">
        <v>10</v>
      </c>
    </row>
    <row r="16" spans="1:12" x14ac:dyDescent="0.25">
      <c r="K16" t="s">
        <v>22</v>
      </c>
      <c r="L16">
        <v>9</v>
      </c>
    </row>
    <row r="17" spans="11:12" x14ac:dyDescent="0.25">
      <c r="K17" t="s">
        <v>21</v>
      </c>
      <c r="L17">
        <v>8</v>
      </c>
    </row>
    <row r="18" spans="11:12" x14ac:dyDescent="0.25">
      <c r="K18" t="s">
        <v>23</v>
      </c>
      <c r="L18">
        <v>7</v>
      </c>
    </row>
    <row r="19" spans="11:12" x14ac:dyDescent="0.25">
      <c r="K19" t="s">
        <v>24</v>
      </c>
      <c r="L19">
        <v>6</v>
      </c>
    </row>
    <row r="20" spans="11:12" x14ac:dyDescent="0.25">
      <c r="K20" t="s">
        <v>25</v>
      </c>
      <c r="L20">
        <v>5</v>
      </c>
    </row>
    <row r="21" spans="11:12" x14ac:dyDescent="0.25">
      <c r="K21" t="s">
        <v>26</v>
      </c>
      <c r="L21">
        <v>4</v>
      </c>
    </row>
    <row r="22" spans="11:12" x14ac:dyDescent="0.25">
      <c r="K22" t="s">
        <v>27</v>
      </c>
      <c r="L22">
        <v>3</v>
      </c>
    </row>
    <row r="23" spans="11:12" x14ac:dyDescent="0.25">
      <c r="K23" t="s">
        <v>28</v>
      </c>
      <c r="L23">
        <v>2</v>
      </c>
    </row>
    <row r="24" spans="11:12" x14ac:dyDescent="0.25">
      <c r="K24" t="s">
        <v>29</v>
      </c>
      <c r="L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Waweru</dc:creator>
  <cp:lastModifiedBy>Dan Waweru</cp:lastModifiedBy>
  <dcterms:created xsi:type="dcterms:W3CDTF">2025-11-16T06:16:32Z</dcterms:created>
  <dcterms:modified xsi:type="dcterms:W3CDTF">2025-11-24T10:13:20Z</dcterms:modified>
</cp:coreProperties>
</file>